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STIN" r:id="rId3" sheetId="1"/>
    <sheet name="B2B" r:id="rId4" sheetId="2"/>
    <sheet name="B2B CN (cdnr)" r:id="rId5" sheetId="3"/>
    <sheet name="B2CL CN (cdnur)" r:id="rId6" sheetId="4"/>
    <sheet name="B2C Large" r:id="rId7" sheetId="5"/>
    <sheet name="B2C Small" r:id="rId8" sheetId="6"/>
    <sheet name="HSN Summary" r:id="rId9" sheetId="7"/>
  </sheets>
</workbook>
</file>

<file path=xl/sharedStrings.xml><?xml version="1.0" encoding="utf-8"?>
<sst xmlns="http://schemas.openxmlformats.org/spreadsheetml/2006/main" count="337" uniqueCount="138">
  <si>
    <t>Merchant GSTIN</t>
  </si>
  <si>
    <t>09BVHPP4321G1ZJ</t>
  </si>
  <si>
    <t>This report pools together information on all transactions to be reported in GSTR 1 tax filing by the sellers by 10th of following month. The report contains exact same columns and information that are required to be uploaded into GST portal by Sellers. Shared below is a summary of various sheets/tabs included in this report and the details contained in each tab.</t>
  </si>
  <si>
    <t>Tab name in Amazon's GST Ready-to-File Report</t>
  </si>
  <si>
    <t>Tab name in GSTR-1 Excel Template (Offline Tool)</t>
  </si>
  <si>
    <t>Description in GSTR-1 Excel Template (Offline Tool)</t>
  </si>
  <si>
    <t>Information captured in Amazon's GST Ready-to-File Report</t>
  </si>
  <si>
    <t>B2B</t>
  </si>
  <si>
    <t>b2b</t>
  </si>
  <si>
    <t>Details of invoices of Taxable supplies made to other registered taxpayers</t>
  </si>
  <si>
    <t>This tab contains details of all invoices issued to a registered customer (i.e., a customer having GSTIN), as well as all invoices for inter-state movement of goods.
Please refer invoices with transaction type as 'Shipment' under MTR B2B report and inter-state invoices within STR report for details on these invoices.</t>
  </si>
  <si>
    <t>B2B CN (cdnr)</t>
  </si>
  <si>
    <t>cdnr</t>
  </si>
  <si>
    <t>Credit/ Debit Notes/Refund vouchers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</si>
  <si>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This tab contains details of all credit notes issued to a registered customer (i.e., a customer having GSTIN).
Please refer transactions with transaction type as 'Refund' under MTR B2B for details on these credit notes.</t>
  </si>
  <si>
    <t>B2CL CN (cdnur)</t>
  </si>
  <si>
    <t>cdnur</t>
  </si>
  <si>
    <t>Credit/ Debit Notes/Refund vouchers issued to the unregistered persons against interstate invoice value is more than Rs 1 lakh.</t>
  </si>
  <si>
    <t>This section contains details of all credit notes for invoices with value more than Rs 1,00,000 and issued to a non-registered customer (i.e., a customer without GSTIN).
Please refer credit notes for which the invoice value more than Rs 1,00,000 under MTR B2C.</t>
  </si>
  <si>
    <t>B2C Large</t>
  </si>
  <si>
    <t>b2cl</t>
  </si>
  <si>
    <t>Invoices for Taxable outward supplies to consumers where
a) The place of supply is outside the state where the supplier is registered and
b) The total invoice value is more that Rs 1 lakh</t>
  </si>
  <si>
    <t>This section contains details of all invoices with value more than Rs 1,00,000 and issued to a non-registered customer (i.e. a customer without GSTIN).
Please refer invoices with invoice value more than Rs 1,00,000 and transaction type as 'Shipment' under MTR B2C.</t>
  </si>
  <si>
    <t>B2C Small</t>
  </si>
  <si>
    <t>b2cs</t>
  </si>
  <si>
    <t>Supplies made to consumers and unregistered persons of the following nature
a) Intra-State: any value
b) Inter-State: Invoice value Rs 1 lakh or less</t>
  </si>
  <si>
    <t>This section contains details of all invoices issued to a non-registered customer (i.e. a customer without GSTIN). The amount is summarized at each state of supply and GST rate. (Please note that the amount is net off credit note).
Please refer invoices with value less than Rs 1,00,000 and with transaction type as 'Shipment' or 'Refund' under MTR B2C for details on these invoices.</t>
  </si>
  <si>
    <t>HSN Summary</t>
  </si>
  <si>
    <t>hsn</t>
  </si>
  <si>
    <t>HSN wise summary of goods /services supplied during the tax period</t>
  </si>
  <si>
    <t>Summary For B2B</t>
  </si>
  <si>
    <t>No. of Recipients</t>
  </si>
  <si>
    <t>No. of Invoices</t>
  </si>
  <si>
    <t>Total Invoice Value</t>
  </si>
  <si>
    <t>Total Taxable Value</t>
  </si>
  <si>
    <t>Total Cess</t>
  </si>
  <si>
    <t>GSTIN/UIN of Recipient</t>
  </si>
  <si>
    <t>Receiver Name</t>
  </si>
  <si>
    <t>Invoice Number</t>
  </si>
  <si>
    <t>Invoice date</t>
  </si>
  <si>
    <t>Invoice Value</t>
  </si>
  <si>
    <t>Place Of Supply</t>
  </si>
  <si>
    <t>Reverse Charge</t>
  </si>
  <si>
    <t>Applicable % of Tax Rate</t>
  </si>
  <si>
    <t>Invoice Type</t>
  </si>
  <si>
    <t>E-Commerce GSTIN</t>
  </si>
  <si>
    <t>Rate</t>
  </si>
  <si>
    <t>Taxable Value</t>
  </si>
  <si>
    <t>Cess Amount</t>
  </si>
  <si>
    <t>27AMMPS8111J2ZK</t>
  </si>
  <si>
    <t/>
  </si>
  <si>
    <t>IN-162</t>
  </si>
  <si>
    <t>20-Jul-2026</t>
  </si>
  <si>
    <t>27-Maharashtra</t>
  </si>
  <si>
    <t>N</t>
  </si>
  <si>
    <t>Regular B2B</t>
  </si>
  <si>
    <t>09AAICA3918J1CR</t>
  </si>
  <si>
    <t>07AQMPG4923E1ZY</t>
  </si>
  <si>
    <t>IN-166</t>
  </si>
  <si>
    <t>23-Jul-2026</t>
  </si>
  <si>
    <t>07-Delhi</t>
  </si>
  <si>
    <t>06AAFCA1026J1Z2</t>
  </si>
  <si>
    <t>IN-279</t>
  </si>
  <si>
    <t>16-Sep-2026</t>
  </si>
  <si>
    <t>06-Haryana</t>
  </si>
  <si>
    <t>36AIUPD5288P2Z8</t>
  </si>
  <si>
    <t>IN-177</t>
  </si>
  <si>
    <t>27-Jul-2026</t>
  </si>
  <si>
    <t>36-Telangana</t>
  </si>
  <si>
    <t>24AASFC8893M1ZG</t>
  </si>
  <si>
    <t>IN-249</t>
  </si>
  <si>
    <t>02-Sep-2026</t>
  </si>
  <si>
    <t>24-Gujarat</t>
  </si>
  <si>
    <t>IN-289</t>
  </si>
  <si>
    <t>24-Sep-2026</t>
  </si>
  <si>
    <t>33GSCPM7358K1Z9</t>
  </si>
  <si>
    <t>IN-200</t>
  </si>
  <si>
    <t>06-Aug-2026</t>
  </si>
  <si>
    <t>33-Tamil Nadu</t>
  </si>
  <si>
    <t>IN-269</t>
  </si>
  <si>
    <t>11-Sep-2026</t>
  </si>
  <si>
    <t>Summary For CDNR</t>
  </si>
  <si>
    <t>No. of Notes</t>
  </si>
  <si>
    <t>Total Note Value</t>
  </si>
  <si>
    <t>Note Number</t>
  </si>
  <si>
    <t>Note Date</t>
  </si>
  <si>
    <t>Note Type</t>
  </si>
  <si>
    <t>Note Supply Type</t>
  </si>
  <si>
    <t>Note Value</t>
  </si>
  <si>
    <t>Invoice/Advance Receipt Number</t>
  </si>
  <si>
    <t>Invoice/Advance Receipt Date</t>
  </si>
  <si>
    <t>Reason for Issuing Document</t>
  </si>
  <si>
    <t>CN-19</t>
  </si>
  <si>
    <t>02-Aug-2026</t>
  </si>
  <si>
    <t>C</t>
  </si>
  <si>
    <t>01-Sales Return</t>
  </si>
  <si>
    <t>CN-25</t>
  </si>
  <si>
    <t>18-Aug-2026</t>
  </si>
  <si>
    <t>CN-32</t>
  </si>
  <si>
    <t>07-Sep-2026</t>
  </si>
  <si>
    <t>Summary For CDNUR</t>
  </si>
  <si>
    <t>UR Type</t>
  </si>
  <si>
    <t>Summary For B2CL</t>
  </si>
  <si>
    <t>Summary For B2CS</t>
  </si>
  <si>
    <t>Type</t>
  </si>
  <si>
    <t>E</t>
  </si>
  <si>
    <t>05-Uttarakhand</t>
  </si>
  <si>
    <t>29-Karnataka</t>
  </si>
  <si>
    <t>03-Punjab</t>
  </si>
  <si>
    <t>30-Goa</t>
  </si>
  <si>
    <t>19-West Bengal</t>
  </si>
  <si>
    <t>32-Kerala</t>
  </si>
  <si>
    <t>09-Uttar Pradesh</t>
  </si>
  <si>
    <t>23-Madhya Pradesh</t>
  </si>
  <si>
    <t>21-Odisha</t>
  </si>
  <si>
    <t>26-Dadra &amp; Nagar Haveli &amp; Daman &amp; Diu</t>
  </si>
  <si>
    <t>10-Bihar</t>
  </si>
  <si>
    <t>08-Rajasthan</t>
  </si>
  <si>
    <t>18-Assam</t>
  </si>
  <si>
    <t>37-Andhra Pradesh</t>
  </si>
  <si>
    <t>22-Chhattisgarh</t>
  </si>
  <si>
    <t>20-Jharkhand</t>
  </si>
  <si>
    <t>Summary for HSN</t>
  </si>
  <si>
    <t>No. of HSN</t>
  </si>
  <si>
    <t>Total Value</t>
  </si>
  <si>
    <t>Total Integrated Tax</t>
  </si>
  <si>
    <t>Total Central Tax</t>
  </si>
  <si>
    <t>Total State/UT Tax</t>
  </si>
  <si>
    <t>HSN</t>
  </si>
  <si>
    <t>Description</t>
  </si>
  <si>
    <t>UQC</t>
  </si>
  <si>
    <t>Total Quantity</t>
  </si>
  <si>
    <t>Integrated Tax Amount</t>
  </si>
  <si>
    <t>Central Tax Amount</t>
  </si>
  <si>
    <t>State/UT Tax Amount</t>
  </si>
  <si>
    <t>39211200</t>
  </si>
  <si>
    <t>PCS</t>
  </si>
  <si>
    <t>63049291</t>
  </si>
</sst>
</file>

<file path=xl/styles.xml><?xml version="1.0" encoding="utf-8"?>
<styleSheet xmlns="http://schemas.openxmlformats.org/spreadsheetml/2006/main">
  <numFmts count="0"/>
  <fonts count="43">
    <font>
      <sz val="11.0"/>
      <color indexed="8"/>
      <name val="Calibri"/>
      <family val="2"/>
      <scheme val="minor"/>
    </font>
    <font>
      <name val="Times New Roman"/>
      <sz val="11.0"/>
      <b val="true"/>
      <color indexed="9"/>
    </font>
    <font>
      <name val="Times New Roman"/>
      <sz val="11.0"/>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
      <name val="Times New Roman"/>
      <sz val="11.0"/>
      <b val="true"/>
      <color indexed="9"/>
    </font>
  </fonts>
  <fills count="6">
    <fill>
      <patternFill patternType="none"/>
    </fill>
    <fill>
      <patternFill patternType="darkGray"/>
    </fill>
    <fill>
      <patternFill patternType="none">
        <fgColor indexed="30"/>
      </patternFill>
    </fill>
    <fill>
      <patternFill patternType="solid">
        <fgColor indexed="30"/>
      </patternFill>
    </fill>
    <fill>
      <patternFill patternType="none">
        <fgColor indexed="47"/>
      </patternFill>
    </fill>
    <fill>
      <patternFill patternType="solid">
        <fgColor indexed="47"/>
      </patternFill>
    </fill>
  </fills>
  <borders count="1">
    <border>
      <left/>
      <right/>
      <top/>
      <bottom/>
      <diagonal/>
    </border>
  </borders>
  <cellStyleXfs count="1">
    <xf numFmtId="0" fontId="0" fillId="0" borderId="0"/>
  </cellStyleXfs>
  <cellXfs count="69">
    <xf numFmtId="0" fontId="0" fillId="0" borderId="0" xfId="0"/>
    <xf numFmtId="0" fontId="1" fillId="3" borderId="0" xfId="0" applyFont="true" applyFill="true"/>
    <xf numFmtId="0" fontId="2" fillId="0" borderId="0" xfId="0" applyFont="true">
      <alignment vertical="center" wrapText="true"/>
    </xf>
    <xf numFmtId="0" fontId="3" fillId="3" borderId="0" xfId="0" applyFont="true" applyFill="true">
      <alignment vertical="center" horizontal="center" wrapText="true"/>
    </xf>
    <xf numFmtId="0" fontId="4" fillId="3" borderId="0" xfId="0" applyFont="true" applyFill="true">
      <alignment vertical="center" horizontal="center" wrapText="true"/>
    </xf>
    <xf numFmtId="0" fontId="5" fillId="3" borderId="0" xfId="0" applyFont="true" applyFill="true">
      <alignment vertical="center" horizontal="center" wrapText="true"/>
    </xf>
    <xf numFmtId="0" fontId="6" fillId="3" borderId="0" xfId="0" applyFont="true" applyFill="true">
      <alignment vertical="center" horizontal="center" wrapText="true"/>
    </xf>
    <xf numFmtId="0" fontId="7" fillId="0" borderId="0" xfId="0" applyFont="true">
      <alignment vertical="center" wrapText="true"/>
    </xf>
    <xf numFmtId="0" fontId="8" fillId="0" borderId="0" xfId="0" applyFont="true">
      <alignment vertical="center" wrapText="true"/>
    </xf>
    <xf numFmtId="0" fontId="9" fillId="0" borderId="0" xfId="0" applyFont="true">
      <alignment vertical="center" wrapText="true"/>
    </xf>
    <xf numFmtId="0" fontId="10" fillId="0" borderId="0" xfId="0" applyFont="true">
      <alignment vertical="center" wrapText="true"/>
    </xf>
    <xf numFmtId="0" fontId="11" fillId="0" borderId="0" xfId="0" applyFont="true">
      <alignment vertical="center" wrapText="true"/>
    </xf>
    <xf numFmtId="0" fontId="12" fillId="0" borderId="0" xfId="0" applyFont="true">
      <alignment vertical="center" wrapText="true"/>
    </xf>
    <xf numFmtId="0" fontId="13" fillId="0" borderId="0" xfId="0" applyFont="true">
      <alignment vertical="center" wrapText="true"/>
    </xf>
    <xf numFmtId="0" fontId="14" fillId="0" borderId="0" xfId="0" applyFont="true">
      <alignment vertical="center" wrapText="true"/>
    </xf>
    <xf numFmtId="0" fontId="15" fillId="0" borderId="0" xfId="0" applyFont="true">
      <alignment vertical="center" wrapText="true"/>
    </xf>
    <xf numFmtId="0" fontId="16" fillId="0" borderId="0" xfId="0" applyFont="true">
      <alignment vertical="center" wrapText="true"/>
    </xf>
    <xf numFmtId="0" fontId="17" fillId="0" borderId="0" xfId="0" applyFont="true">
      <alignment vertical="center" wrapText="true"/>
    </xf>
    <xf numFmtId="0" fontId="18" fillId="0" borderId="0" xfId="0" applyFont="true">
      <alignment vertical="center" wrapText="true"/>
    </xf>
    <xf numFmtId="0" fontId="19" fillId="0" borderId="0" xfId="0" applyFont="true">
      <alignment vertical="center" wrapText="true"/>
    </xf>
    <xf numFmtId="0" fontId="20" fillId="0" borderId="0" xfId="0" applyFont="true">
      <alignment vertical="center" wrapText="true"/>
    </xf>
    <xf numFmtId="0" fontId="21" fillId="0" borderId="0" xfId="0" applyFont="true">
      <alignment vertical="center" wrapText="true"/>
    </xf>
    <xf numFmtId="0" fontId="22" fillId="0" borderId="0" xfId="0" applyFont="true">
      <alignment vertical="center" wrapText="true"/>
    </xf>
    <xf numFmtId="0" fontId="23" fillId="0" borderId="0" xfId="0" applyFont="true">
      <alignment vertical="center" wrapText="true"/>
    </xf>
    <xf numFmtId="0" fontId="24" fillId="0" borderId="0" xfId="0" applyFont="true">
      <alignment vertical="center" wrapText="true"/>
    </xf>
    <xf numFmtId="0" fontId="25" fillId="0" borderId="0" xfId="0" applyFont="true">
      <alignment vertical="center" wrapText="true"/>
    </xf>
    <xf numFmtId="0" fontId="26" fillId="0" borderId="0" xfId="0" applyFont="true">
      <alignment vertical="center" wrapText="true"/>
    </xf>
    <xf numFmtId="0" fontId="27" fillId="0" borderId="0" xfId="0" applyFont="true">
      <alignment vertical="center" wrapText="true"/>
    </xf>
    <xf numFmtId="0" fontId="28" fillId="0" borderId="0" xfId="0" applyFont="true">
      <alignment vertical="center" wrapText="true"/>
    </xf>
    <xf numFmtId="0" fontId="29" fillId="0" borderId="0" xfId="0" applyFont="true">
      <alignment vertical="center" wrapText="true"/>
    </xf>
    <xf numFmtId="0" fontId="30" fillId="0" borderId="0" xfId="0" applyFont="true">
      <alignment vertical="center" wrapText="true"/>
    </xf>
    <xf numFmtId="0" fontId="31" fillId="3" borderId="0" xfId="0" applyFont="true" applyFill="true"/>
    <xf numFmtId="4" fontId="0" fillId="0" borderId="0" xfId="0" applyNumberFormat="true"/>
    <xf numFmtId="4" fontId="0" fillId="0" borderId="0" xfId="0" applyNumberFormat="true"/>
    <xf numFmtId="4" fontId="0" fillId="0" borderId="0" xfId="0" applyNumberFormat="true"/>
    <xf numFmtId="0" fontId="32" fillId="3" borderId="0" xfId="0" applyFont="true" applyFill="true"/>
    <xf numFmtId="0" fontId="0" fillId="5" borderId="0" xfId="0" applyFill="true"/>
    <xf numFmtId="0" fontId="33" fillId="3" borderId="0" xfId="0" applyFont="true" applyFill="true"/>
    <xf numFmtId="4" fontId="0" fillId="0" borderId="0" xfId="0" applyNumberFormat="true"/>
    <xf numFmtId="4" fontId="0" fillId="0" borderId="0" xfId="0" applyNumberFormat="true"/>
    <xf numFmtId="4" fontId="0" fillId="0" borderId="0" xfId="0" applyNumberFormat="true"/>
    <xf numFmtId="0" fontId="34" fillId="3" borderId="0" xfId="0" applyFont="true" applyFill="true"/>
    <xf numFmtId="0" fontId="0" fillId="5" borderId="0" xfId="0" applyFill="true"/>
    <xf numFmtId="0" fontId="35" fillId="3" borderId="0" xfId="0" applyFont="true" applyFill="true"/>
    <xf numFmtId="4" fontId="0" fillId="0" borderId="0" xfId="0" applyNumberFormat="true"/>
    <xf numFmtId="4" fontId="0" fillId="0" borderId="0" xfId="0" applyNumberFormat="true"/>
    <xf numFmtId="4" fontId="0" fillId="0" borderId="0" xfId="0" applyNumberFormat="true"/>
    <xf numFmtId="0" fontId="36" fillId="3" borderId="0" xfId="0" applyFont="true" applyFill="true"/>
    <xf numFmtId="0" fontId="0" fillId="5" borderId="0" xfId="0" applyFill="true"/>
    <xf numFmtId="0" fontId="37" fillId="3" borderId="0" xfId="0" applyFont="true" applyFill="true"/>
    <xf numFmtId="4" fontId="0" fillId="0" borderId="0" xfId="0" applyNumberFormat="true"/>
    <xf numFmtId="4" fontId="0" fillId="0" borderId="0" xfId="0" applyNumberFormat="true"/>
    <xf numFmtId="4" fontId="0" fillId="0" borderId="0" xfId="0" applyNumberFormat="true"/>
    <xf numFmtId="0" fontId="38" fillId="3" borderId="0" xfId="0" applyFont="true" applyFill="true"/>
    <xf numFmtId="0" fontId="0" fillId="5" borderId="0" xfId="0" applyFill="true"/>
    <xf numFmtId="0" fontId="39" fillId="3" borderId="0" xfId="0" applyFont="true" applyFill="true"/>
    <xf numFmtId="4" fontId="0" fillId="0" borderId="0" xfId="0" applyNumberFormat="true"/>
    <xf numFmtId="4" fontId="0" fillId="0" borderId="0" xfId="0" applyNumberFormat="true"/>
    <xf numFmtId="0" fontId="40" fillId="3" borderId="0" xfId="0" applyFont="true" applyFill="true"/>
    <xf numFmtId="0" fontId="0" fillId="5" borderId="0" xfId="0" applyFill="true"/>
    <xf numFmtId="0" fontId="41" fillId="3" borderId="0" xfId="0" applyFont="true" applyFill="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0" fontId="42" fillId="3" borderId="0" xfId="0" applyFont="true" applyFill="true"/>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2:D15"/>
  <sheetViews>
    <sheetView workbookViewId="0" tabSelected="true"/>
  </sheetViews>
  <sheetFormatPr defaultRowHeight="15.0"/>
  <cols>
    <col min="1" max="1" width="21.0" customWidth="true"/>
    <col min="2" max="2" width="21.0" customWidth="true"/>
    <col min="3" max="3" width="76.5" customWidth="true"/>
    <col min="4" max="4" width="85.5" customWidth="true"/>
  </cols>
  <sheetData>
    <row r="2">
      <c r="A2" t="s" s="1">
        <v>0</v>
      </c>
    </row>
    <row r="3">
      <c r="A3" t="s">
        <v>1</v>
      </c>
    </row>
    <row r="5">
      <c r="A5" t="s" s="2">
        <v>2</v>
      </c>
    </row>
    <row r="9">
      <c r="A9" t="s" s="3">
        <v>3</v>
      </c>
      <c r="B9" t="s" s="4">
        <v>4</v>
      </c>
      <c r="C9" t="s" s="5">
        <v>5</v>
      </c>
      <c r="D9" t="s" s="6">
        <v>6</v>
      </c>
    </row>
    <row r="10">
      <c r="A10" t="s" s="7">
        <v>7</v>
      </c>
      <c r="B10" t="s" s="8">
        <v>8</v>
      </c>
      <c r="C10" t="s" s="9">
        <v>9</v>
      </c>
      <c r="D10" t="s" s="10">
        <v>10</v>
      </c>
    </row>
    <row r="11">
      <c r="A11" t="s" s="11">
        <v>11</v>
      </c>
      <c r="B11" t="s" s="12">
        <v>12</v>
      </c>
      <c r="C11" t="s" s="13">
        <v>13</v>
      </c>
      <c r="D11" t="s" s="14">
        <v>14</v>
      </c>
    </row>
    <row r="12">
      <c r="A12" t="s" s="15">
        <v>15</v>
      </c>
      <c r="B12" t="s" s="16">
        <v>16</v>
      </c>
      <c r="C12" t="s" s="17">
        <v>17</v>
      </c>
      <c r="D12" t="s" s="18">
        <v>18</v>
      </c>
    </row>
    <row r="13">
      <c r="A13" t="s" s="19">
        <v>19</v>
      </c>
      <c r="B13" t="s" s="20">
        <v>20</v>
      </c>
      <c r="C13" t="s" s="21">
        <v>21</v>
      </c>
      <c r="D13" t="s" s="22">
        <v>22</v>
      </c>
    </row>
    <row r="14">
      <c r="A14" t="s" s="23">
        <v>23</v>
      </c>
      <c r="B14" t="s" s="24">
        <v>24</v>
      </c>
      <c r="C14" t="s" s="25">
        <v>25</v>
      </c>
      <c r="D14" t="s" s="26">
        <v>26</v>
      </c>
    </row>
    <row r="15">
      <c r="A15" t="s" s="27">
        <v>27</v>
      </c>
      <c r="B15" t="s" s="28">
        <v>28</v>
      </c>
      <c r="C15" t="s" s="29">
        <v>29</v>
      </c>
      <c r="D15" t="s" s="30">
        <v>29</v>
      </c>
    </row>
  </sheetData>
  <mergeCells count="1">
    <mergeCell ref="A5:D7"/>
  </mergeCells>
  <pageMargins bottom="0.75" footer="0.3" header="0.3" left="0.7" right="0.7" top="0.75"/>
</worksheet>
</file>

<file path=xl/worksheets/sheet2.xml><?xml version="1.0" encoding="utf-8"?>
<worksheet xmlns="http://schemas.openxmlformats.org/spreadsheetml/2006/main">
  <dimension ref="A1:M12"/>
  <sheetViews>
    <sheetView workbookViewId="0">
      <pane ySplit="4.0" state="frozen" topLeftCell="A5" activePane="bottomLeft"/>
      <selection pane="bottomLeft"/>
    </sheetView>
  </sheetViews>
  <sheetFormatPr defaultRowHeight="15.0"/>
  <cols>
    <col min="1" max="1" width="24.19921875" customWidth="true"/>
    <col min="2" max="2" width="14.296875" customWidth="true"/>
    <col min="3" max="3" width="16.5" customWidth="true"/>
    <col min="4" max="4" width="13.19921875" customWidth="true"/>
    <col min="5" max="5" width="20.8984375" customWidth="true"/>
    <col min="6" max="6" width="16.5" customWidth="true"/>
    <col min="7" max="7" width="15.3984375" customWidth="true"/>
    <col min="8" max="8" width="26.3984375" customWidth="true"/>
    <col min="9" max="9" width="13.19921875" customWidth="true"/>
    <col min="10" max="10" width="17.59765625" customWidth="true"/>
    <col min="11" max="11" width="4.3984375" customWidth="true"/>
    <col min="12" max="12" width="20.8984375" customWidth="true"/>
    <col min="13" max="13" width="12.09765625" customWidth="true"/>
  </cols>
  <sheetData>
    <row r="1">
      <c r="A1" t="s" s="31">
        <v>30</v>
      </c>
    </row>
    <row r="2">
      <c r="A2" t="s" s="35">
        <v>31</v>
      </c>
      <c r="B2" s="35"/>
      <c r="C2" t="s" s="35">
        <v>32</v>
      </c>
      <c r="D2" s="35"/>
      <c r="E2" t="s" s="35">
        <v>33</v>
      </c>
      <c r="F2" s="35"/>
      <c r="G2" s="35"/>
      <c r="H2" s="35"/>
      <c r="I2" s="35"/>
      <c r="J2" s="35"/>
      <c r="K2" s="35"/>
      <c r="L2" t="s" s="35">
        <v>34</v>
      </c>
      <c r="M2" t="s" s="35">
        <v>35</v>
      </c>
    </row>
    <row r="3">
      <c r="A3" t="n">
        <f>COUNTA(A5:A1048576)</f>
        <v>0.0</v>
      </c>
      <c r="B3"/>
      <c r="C3" t="n">
        <f>COUNTA(C5:C1048576)</f>
        <v>0.0</v>
      </c>
      <c r="D3"/>
      <c r="E3" t="n" s="32">
        <f>SUM(E5:E1048576)</f>
        <v>0.0</v>
      </c>
      <c r="F3"/>
      <c r="G3"/>
      <c r="H3"/>
      <c r="I3"/>
      <c r="J3"/>
      <c r="K3"/>
      <c r="L3" t="n" s="33">
        <f>SUM(L5:L1048576)</f>
        <v>0.0</v>
      </c>
      <c r="M3" t="n" s="34">
        <f>SUM(M5:M1048576)</f>
        <v>0.0</v>
      </c>
    </row>
    <row r="4">
      <c r="A4" t="s" s="36">
        <v>36</v>
      </c>
      <c r="B4" t="s" s="36">
        <v>37</v>
      </c>
      <c r="C4" t="s" s="36">
        <v>38</v>
      </c>
      <c r="D4" t="s" s="36">
        <v>39</v>
      </c>
      <c r="E4" t="s" s="36">
        <v>40</v>
      </c>
      <c r="F4" t="s" s="36">
        <v>41</v>
      </c>
      <c r="G4" t="s" s="36">
        <v>42</v>
      </c>
      <c r="H4" t="s" s="36">
        <v>43</v>
      </c>
      <c r="I4" t="s" s="36">
        <v>44</v>
      </c>
      <c r="J4" t="s" s="36">
        <v>45</v>
      </c>
      <c r="K4" t="s" s="36">
        <v>46</v>
      </c>
      <c r="L4" t="s" s="36">
        <v>47</v>
      </c>
      <c r="M4" t="s" s="36">
        <v>48</v>
      </c>
    </row>
    <row r="5">
      <c r="A5" t="s">
        <v>49</v>
      </c>
      <c r="B5" t="s">
        <v>50</v>
      </c>
      <c r="C5" t="s">
        <v>51</v>
      </c>
      <c r="D5" t="s">
        <v>52</v>
      </c>
      <c r="E5" t="n">
        <v>419.0</v>
      </c>
      <c r="F5" t="s">
        <v>53</v>
      </c>
      <c r="G5" t="s">
        <v>54</v>
      </c>
      <c r="H5" t="s">
        <v>50</v>
      </c>
      <c r="I5" t="s">
        <v>55</v>
      </c>
      <c r="J5" t="s">
        <v>56</v>
      </c>
      <c r="K5" t="n">
        <v>0.0</v>
      </c>
      <c r="L5" t="n">
        <v>419.0</v>
      </c>
      <c r="M5" t="n">
        <v>0.0</v>
      </c>
    </row>
    <row r="6">
      <c r="A6" t="s">
        <v>57</v>
      </c>
      <c r="B6" t="s">
        <v>50</v>
      </c>
      <c r="C6" t="s">
        <v>58</v>
      </c>
      <c r="D6" t="s">
        <v>59</v>
      </c>
      <c r="E6" t="n">
        <v>299.0</v>
      </c>
      <c r="F6" t="s">
        <v>60</v>
      </c>
      <c r="G6" t="s">
        <v>54</v>
      </c>
      <c r="H6" t="s">
        <v>50</v>
      </c>
      <c r="I6" t="s">
        <v>55</v>
      </c>
      <c r="J6" t="s">
        <v>56</v>
      </c>
      <c r="K6" t="n">
        <v>0.0</v>
      </c>
      <c r="L6" t="n">
        <v>299.0</v>
      </c>
      <c r="M6" t="n">
        <v>0.0</v>
      </c>
    </row>
    <row r="7">
      <c r="A7" t="s">
        <v>61</v>
      </c>
      <c r="B7" t="s">
        <v>50</v>
      </c>
      <c r="C7" t="s">
        <v>62</v>
      </c>
      <c r="D7" t="s">
        <v>63</v>
      </c>
      <c r="E7" t="n">
        <v>838.0</v>
      </c>
      <c r="F7" t="s">
        <v>64</v>
      </c>
      <c r="G7" t="s">
        <v>54</v>
      </c>
      <c r="H7" t="s">
        <v>50</v>
      </c>
      <c r="I7" t="s">
        <v>55</v>
      </c>
      <c r="J7" t="s">
        <v>56</v>
      </c>
      <c r="K7" t="n">
        <v>0.0</v>
      </c>
      <c r="L7" t="n">
        <v>838.0</v>
      </c>
      <c r="M7" t="n">
        <v>0.0</v>
      </c>
    </row>
    <row r="8">
      <c r="A8" t="s">
        <v>65</v>
      </c>
      <c r="B8" t="s">
        <v>50</v>
      </c>
      <c r="C8" t="s">
        <v>66</v>
      </c>
      <c r="D8" t="s">
        <v>67</v>
      </c>
      <c r="E8" t="n">
        <v>419.0</v>
      </c>
      <c r="F8" t="s">
        <v>68</v>
      </c>
      <c r="G8" t="s">
        <v>54</v>
      </c>
      <c r="H8" t="s">
        <v>50</v>
      </c>
      <c r="I8" t="s">
        <v>55</v>
      </c>
      <c r="J8" t="s">
        <v>56</v>
      </c>
      <c r="K8" t="n">
        <v>0.0</v>
      </c>
      <c r="L8" t="n">
        <v>419.0</v>
      </c>
      <c r="M8" t="n">
        <v>0.0</v>
      </c>
    </row>
    <row r="9">
      <c r="A9" t="s">
        <v>69</v>
      </c>
      <c r="B9" t="s">
        <v>50</v>
      </c>
      <c r="C9" t="s">
        <v>70</v>
      </c>
      <c r="D9" t="s">
        <v>71</v>
      </c>
      <c r="E9" t="n">
        <v>419.0</v>
      </c>
      <c r="F9" t="s">
        <v>72</v>
      </c>
      <c r="G9" t="s">
        <v>54</v>
      </c>
      <c r="H9" t="s">
        <v>50</v>
      </c>
      <c r="I9" t="s">
        <v>55</v>
      </c>
      <c r="J9" t="s">
        <v>56</v>
      </c>
      <c r="K9" t="n">
        <v>0.0</v>
      </c>
      <c r="L9" t="n">
        <v>419.0</v>
      </c>
      <c r="M9" t="n">
        <v>0.0</v>
      </c>
    </row>
    <row r="10">
      <c r="A10" t="s">
        <v>61</v>
      </c>
      <c r="B10" t="s">
        <v>50</v>
      </c>
      <c r="C10" t="s">
        <v>73</v>
      </c>
      <c r="D10" t="s">
        <v>74</v>
      </c>
      <c r="E10" t="n">
        <v>1257.0</v>
      </c>
      <c r="F10" t="s">
        <v>64</v>
      </c>
      <c r="G10" t="s">
        <v>54</v>
      </c>
      <c r="H10" t="s">
        <v>50</v>
      </c>
      <c r="I10" t="s">
        <v>55</v>
      </c>
      <c r="J10" t="s">
        <v>56</v>
      </c>
      <c r="K10" t="n">
        <v>0.0</v>
      </c>
      <c r="L10" t="n">
        <v>1257.0</v>
      </c>
      <c r="M10" t="n">
        <v>0.0</v>
      </c>
    </row>
    <row r="11">
      <c r="A11" t="s">
        <v>75</v>
      </c>
      <c r="B11" t="s">
        <v>50</v>
      </c>
      <c r="C11" t="s">
        <v>76</v>
      </c>
      <c r="D11" t="s">
        <v>77</v>
      </c>
      <c r="E11" t="n">
        <v>419.0</v>
      </c>
      <c r="F11" t="s">
        <v>78</v>
      </c>
      <c r="G11" t="s">
        <v>54</v>
      </c>
      <c r="H11" t="s">
        <v>50</v>
      </c>
      <c r="I11" t="s">
        <v>55</v>
      </c>
      <c r="J11" t="s">
        <v>56</v>
      </c>
      <c r="K11" t="n">
        <v>0.0</v>
      </c>
      <c r="L11" t="n">
        <v>419.0</v>
      </c>
      <c r="M11" t="n">
        <v>0.0</v>
      </c>
    </row>
    <row r="12">
      <c r="A12" t="s">
        <v>61</v>
      </c>
      <c r="B12" t="s">
        <v>50</v>
      </c>
      <c r="C12" t="s">
        <v>79</v>
      </c>
      <c r="D12" t="s">
        <v>80</v>
      </c>
      <c r="E12" t="n">
        <v>419.0</v>
      </c>
      <c r="F12" t="s">
        <v>64</v>
      </c>
      <c r="G12" t="s">
        <v>54</v>
      </c>
      <c r="H12" t="s">
        <v>50</v>
      </c>
      <c r="I12" t="s">
        <v>55</v>
      </c>
      <c r="J12" t="s">
        <v>56</v>
      </c>
      <c r="K12" t="n">
        <v>0.0</v>
      </c>
      <c r="L12" t="n">
        <v>419.0</v>
      </c>
      <c r="M12" t="n">
        <v>0.0</v>
      </c>
    </row>
  </sheetData>
  <pageMargins bottom="0.75" footer="0.3" header="0.3" left="0.7" right="0.7" top="0.75"/>
</worksheet>
</file>

<file path=xl/worksheets/sheet3.xml><?xml version="1.0" encoding="utf-8"?>
<worksheet xmlns="http://schemas.openxmlformats.org/spreadsheetml/2006/main">
  <dimension ref="A1:P7"/>
  <sheetViews>
    <sheetView workbookViewId="0">
      <pane ySplit="4.0" state="frozen" topLeftCell="A5" activePane="bottomLeft"/>
      <selection pane="bottomLeft"/>
    </sheetView>
  </sheetViews>
  <sheetFormatPr defaultRowHeight="15.0"/>
  <cols>
    <col min="1" max="1" width="24.19921875" customWidth="true"/>
    <col min="2" max="2" width="14.296875" customWidth="true"/>
    <col min="3" max="3" width="13.19921875" customWidth="true"/>
    <col min="4" max="4" width="9.8984375" customWidth="true"/>
    <col min="5" max="5" width="9.8984375" customWidth="true"/>
    <col min="6" max="6" width="16.5" customWidth="true"/>
    <col min="7" max="7" width="15.3984375" customWidth="true"/>
    <col min="8" max="8" width="17.59765625" customWidth="true"/>
    <col min="9" max="9" width="17.59765625" customWidth="true"/>
    <col min="10" max="10" width="26.3984375" customWidth="true"/>
    <col min="11" max="11" width="4.3984375" customWidth="true"/>
    <col min="12" max="12" width="20.8984375" customWidth="true"/>
    <col min="13" max="13" width="12.09765625" customWidth="true"/>
    <col min="14" max="14" width="33.0" customWidth="true"/>
    <col min="15" max="15" width="30.796875" customWidth="true"/>
    <col min="16" max="16" width="29.69921875" customWidth="true"/>
  </cols>
  <sheetData>
    <row r="1">
      <c r="A1" t="s" s="37">
        <v>81</v>
      </c>
    </row>
    <row r="2">
      <c r="A2" t="s" s="41">
        <v>31</v>
      </c>
      <c r="B2" s="41"/>
      <c r="C2" t="s" s="41">
        <v>82</v>
      </c>
      <c r="D2" s="41"/>
      <c r="E2" s="41"/>
      <c r="F2" s="41"/>
      <c r="G2" s="41"/>
      <c r="H2" s="41"/>
      <c r="I2" t="s" s="41">
        <v>83</v>
      </c>
      <c r="J2" s="41"/>
      <c r="K2" s="41"/>
      <c r="L2" t="s" s="41">
        <v>34</v>
      </c>
      <c r="M2" t="s" s="41">
        <v>35</v>
      </c>
      <c r="N2" t="s" s="41">
        <v>32</v>
      </c>
      <c r="O2" s="41"/>
      <c r="P2" s="41"/>
    </row>
    <row r="3">
      <c r="A3" t="n">
        <f>COUNTA(A5:A1048576)</f>
        <v>0.0</v>
      </c>
      <c r="B3"/>
      <c r="C3" t="n">
        <f>COUNTA(C5:C1048576)</f>
        <v>0.0</v>
      </c>
      <c r="D3"/>
      <c r="E3"/>
      <c r="F3"/>
      <c r="G3"/>
      <c r="H3"/>
      <c r="I3" t="n" s="38">
        <f>SUM(I5:I1048576)</f>
        <v>0.0</v>
      </c>
      <c r="J3"/>
      <c r="K3"/>
      <c r="L3" t="n" s="39">
        <f>SUM(L5:L1048576)</f>
        <v>0.0</v>
      </c>
      <c r="M3" t="n" s="40">
        <f>SUM(M5:M1048576)</f>
        <v>0.0</v>
      </c>
      <c r="N3" t="n">
        <f>COUNTA(N5:N1048576)</f>
        <v>0.0</v>
      </c>
    </row>
    <row r="4">
      <c r="A4" t="s" s="42">
        <v>36</v>
      </c>
      <c r="B4" t="s" s="42">
        <v>37</v>
      </c>
      <c r="C4" t="s" s="42">
        <v>84</v>
      </c>
      <c r="D4" t="s" s="42">
        <v>85</v>
      </c>
      <c r="E4" t="s" s="42">
        <v>86</v>
      </c>
      <c r="F4" t="s" s="42">
        <v>41</v>
      </c>
      <c r="G4" t="s" s="42">
        <v>42</v>
      </c>
      <c r="H4" t="s" s="42">
        <v>87</v>
      </c>
      <c r="I4" t="s" s="42">
        <v>88</v>
      </c>
      <c r="J4" t="s" s="42">
        <v>43</v>
      </c>
      <c r="K4" t="s" s="42">
        <v>46</v>
      </c>
      <c r="L4" t="s" s="42">
        <v>47</v>
      </c>
      <c r="M4" t="s" s="42">
        <v>48</v>
      </c>
      <c r="N4" t="s" s="42">
        <v>89</v>
      </c>
      <c r="O4" t="s" s="42">
        <v>90</v>
      </c>
      <c r="P4" t="s" s="42">
        <v>91</v>
      </c>
    </row>
    <row r="5">
      <c r="A5" t="s">
        <v>65</v>
      </c>
      <c r="B5" t="s">
        <v>50</v>
      </c>
      <c r="C5" t="s">
        <v>92</v>
      </c>
      <c r="D5" t="s">
        <v>93</v>
      </c>
      <c r="E5" t="s">
        <v>94</v>
      </c>
      <c r="F5" t="s">
        <v>68</v>
      </c>
      <c r="G5" t="s">
        <v>54</v>
      </c>
      <c r="H5" t="s">
        <v>55</v>
      </c>
      <c r="I5" t="n">
        <v>419.0</v>
      </c>
      <c r="J5" t="s">
        <v>50</v>
      </c>
      <c r="K5" t="n">
        <v>0.0</v>
      </c>
      <c r="L5" t="n">
        <v>419.0</v>
      </c>
      <c r="M5" t="n">
        <v>0.0</v>
      </c>
      <c r="N5" t="s">
        <v>66</v>
      </c>
      <c r="O5" t="s">
        <v>67</v>
      </c>
      <c r="P5" t="s">
        <v>95</v>
      </c>
    </row>
    <row r="6">
      <c r="A6" t="s">
        <v>75</v>
      </c>
      <c r="B6" t="s">
        <v>50</v>
      </c>
      <c r="C6" t="s">
        <v>96</v>
      </c>
      <c r="D6" t="s">
        <v>97</v>
      </c>
      <c r="E6" t="s">
        <v>94</v>
      </c>
      <c r="F6" t="s">
        <v>78</v>
      </c>
      <c r="G6" t="s">
        <v>54</v>
      </c>
      <c r="H6" t="s">
        <v>55</v>
      </c>
      <c r="I6" t="n">
        <v>419.0</v>
      </c>
      <c r="J6" t="s">
        <v>50</v>
      </c>
      <c r="K6" t="n">
        <v>0.0</v>
      </c>
      <c r="L6" t="n">
        <v>419.0</v>
      </c>
      <c r="M6" t="n">
        <v>0.0</v>
      </c>
      <c r="N6" t="s">
        <v>76</v>
      </c>
      <c r="O6" t="s">
        <v>77</v>
      </c>
      <c r="P6" t="s">
        <v>95</v>
      </c>
    </row>
    <row r="7">
      <c r="A7" t="s">
        <v>69</v>
      </c>
      <c r="B7" t="s">
        <v>50</v>
      </c>
      <c r="C7" t="s">
        <v>98</v>
      </c>
      <c r="D7" t="s">
        <v>99</v>
      </c>
      <c r="E7" t="s">
        <v>94</v>
      </c>
      <c r="F7" t="s">
        <v>72</v>
      </c>
      <c r="G7" t="s">
        <v>54</v>
      </c>
      <c r="H7" t="s">
        <v>55</v>
      </c>
      <c r="I7" t="n">
        <v>419.0</v>
      </c>
      <c r="J7" t="s">
        <v>50</v>
      </c>
      <c r="K7" t="n">
        <v>0.0</v>
      </c>
      <c r="L7" t="n">
        <v>419.0</v>
      </c>
      <c r="M7" t="n">
        <v>0.0</v>
      </c>
      <c r="N7" t="s">
        <v>70</v>
      </c>
      <c r="O7" t="s">
        <v>71</v>
      </c>
      <c r="P7" t="s">
        <v>95</v>
      </c>
    </row>
  </sheetData>
  <pageMargins bottom="0.75" footer="0.3" header="0.3" left="0.7" right="0.7" top="0.75"/>
</worksheet>
</file>

<file path=xl/worksheets/sheet4.xml><?xml version="1.0" encoding="utf-8"?>
<worksheet xmlns="http://schemas.openxmlformats.org/spreadsheetml/2006/main">
  <dimension ref="A1:M4"/>
  <sheetViews>
    <sheetView workbookViewId="0">
      <pane ySplit="4.0" state="frozen" topLeftCell="A5" activePane="bottomLeft"/>
      <selection pane="bottomLeft"/>
    </sheetView>
  </sheetViews>
  <sheetFormatPr defaultRowHeight="15.0"/>
  <cols>
    <col min="1" max="1" width="18.69921875" customWidth="true"/>
    <col min="2" max="2" width="13.19921875" customWidth="true"/>
    <col min="3" max="3" width="9.8984375" customWidth="true"/>
    <col min="4" max="4" width="9.8984375" customWidth="true"/>
    <col min="5" max="5" width="16.5" customWidth="true"/>
    <col min="6" max="6" width="17.59765625" customWidth="true"/>
    <col min="7" max="7" width="26.3984375" customWidth="true"/>
    <col min="8" max="8" width="4.3984375" customWidth="true"/>
    <col min="9" max="9" width="20.8984375" customWidth="true"/>
    <col min="10" max="10" width="12.09765625" customWidth="true"/>
    <col min="11" max="11" width="33.0" customWidth="true"/>
    <col min="12" max="12" width="30.796875" customWidth="true"/>
    <col min="13" max="13" width="29.69921875" customWidth="true"/>
  </cols>
  <sheetData>
    <row r="1">
      <c r="A1" t="s" s="43">
        <v>100</v>
      </c>
    </row>
    <row r="2">
      <c r="A2" s="47"/>
      <c r="B2" t="s" s="47">
        <v>82</v>
      </c>
      <c r="C2" s="47"/>
      <c r="D2" s="47"/>
      <c r="E2" s="47"/>
      <c r="F2" t="s" s="47">
        <v>83</v>
      </c>
      <c r="G2" s="47"/>
      <c r="H2" s="47"/>
      <c r="I2" t="s" s="47">
        <v>34</v>
      </c>
      <c r="J2" t="s" s="47">
        <v>35</v>
      </c>
      <c r="K2" t="s" s="47">
        <v>32</v>
      </c>
      <c r="L2" s="47"/>
      <c r="M2" s="47"/>
    </row>
    <row r="3">
      <c r="A3"/>
      <c r="B3" t="n">
        <f>COUNTA(B5:B1048576)</f>
        <v>0.0</v>
      </c>
      <c r="C3"/>
      <c r="D3"/>
      <c r="E3"/>
      <c r="F3" t="n" s="44">
        <f>SUM(F5:F1048576)</f>
        <v>0.0</v>
      </c>
      <c r="G3"/>
      <c r="H3"/>
      <c r="I3" t="n" s="45">
        <f>SUM(I5:I1048576)</f>
        <v>0.0</v>
      </c>
      <c r="J3" t="n" s="46">
        <f>SUM(J5:J1048576)</f>
        <v>0.0</v>
      </c>
      <c r="K3" t="n">
        <f>COUNTA(K5:K1048576)</f>
        <v>0.0</v>
      </c>
    </row>
    <row r="4">
      <c r="A4" t="s" s="48">
        <v>101</v>
      </c>
      <c r="B4" t="s" s="48">
        <v>84</v>
      </c>
      <c r="C4" t="s" s="48">
        <v>85</v>
      </c>
      <c r="D4" t="s" s="48">
        <v>86</v>
      </c>
      <c r="E4" t="s" s="48">
        <v>41</v>
      </c>
      <c r="F4" t="s" s="48">
        <v>88</v>
      </c>
      <c r="G4" t="s" s="48">
        <v>43</v>
      </c>
      <c r="H4" t="s" s="48">
        <v>46</v>
      </c>
      <c r="I4" t="s" s="48">
        <v>47</v>
      </c>
      <c r="J4" t="s" s="48">
        <v>48</v>
      </c>
      <c r="K4" t="s" s="48">
        <v>89</v>
      </c>
      <c r="L4" t="s" s="48">
        <v>90</v>
      </c>
      <c r="M4" t="s" s="48">
        <v>91</v>
      </c>
    </row>
  </sheetData>
  <pageMargins bottom="0.75" footer="0.3" header="0.3" left="0.7" right="0.7" top="0.75"/>
</worksheet>
</file>

<file path=xl/worksheets/sheet5.xml><?xml version="1.0" encoding="utf-8"?>
<worksheet xmlns="http://schemas.openxmlformats.org/spreadsheetml/2006/main">
  <dimension ref="A1:I4"/>
  <sheetViews>
    <sheetView workbookViewId="0">
      <pane ySplit="4.0" state="frozen" topLeftCell="A5" activePane="bottomLeft"/>
      <selection pane="bottomLeft"/>
    </sheetView>
  </sheetViews>
  <sheetFormatPr defaultRowHeight="15.0"/>
  <cols>
    <col min="1" max="1" width="17.59765625" customWidth="true"/>
    <col min="2" max="2" width="13.19921875" customWidth="true"/>
    <col min="3" max="3" width="20.8984375" customWidth="true"/>
    <col min="4" max="4" width="16.5" customWidth="true"/>
    <col min="5" max="5" width="26.3984375" customWidth="true"/>
    <col min="6" max="6" width="4.3984375" customWidth="true"/>
    <col min="7" max="7" width="20.8984375" customWidth="true"/>
    <col min="8" max="8" width="12.09765625" customWidth="true"/>
    <col min="9" max="9" width="17.59765625" customWidth="true"/>
  </cols>
  <sheetData>
    <row r="1">
      <c r="A1" t="s" s="49">
        <v>102</v>
      </c>
    </row>
    <row r="2">
      <c r="A2" t="s" s="53">
        <v>32</v>
      </c>
      <c r="B2" s="53"/>
      <c r="C2" t="s" s="53">
        <v>33</v>
      </c>
      <c r="D2" s="53"/>
      <c r="E2" s="53"/>
      <c r="F2" s="53"/>
      <c r="G2" t="s" s="53">
        <v>34</v>
      </c>
      <c r="H2" t="s" s="53">
        <v>35</v>
      </c>
      <c r="I2" s="53"/>
    </row>
    <row r="3">
      <c r="A3" t="n">
        <f>COUNTA(A5:A1048576)</f>
        <v>0.0</v>
      </c>
      <c r="B3"/>
      <c r="C3" t="n" s="50">
        <f>SUM(C5:C1048576)</f>
        <v>0.0</v>
      </c>
      <c r="D3"/>
      <c r="E3"/>
      <c r="F3"/>
      <c r="G3" t="n" s="51">
        <f>SUM(G5:G1048576)</f>
        <v>0.0</v>
      </c>
      <c r="H3" t="n" s="52">
        <f>SUM(H5:H1048576)</f>
        <v>0.0</v>
      </c>
    </row>
    <row r="4">
      <c r="A4" t="s" s="54">
        <v>38</v>
      </c>
      <c r="B4" t="s" s="54">
        <v>39</v>
      </c>
      <c r="C4" t="s" s="54">
        <v>40</v>
      </c>
      <c r="D4" t="s" s="54">
        <v>41</v>
      </c>
      <c r="E4" t="s" s="54">
        <v>43</v>
      </c>
      <c r="F4" t="s" s="54">
        <v>46</v>
      </c>
      <c r="G4" t="s" s="54">
        <v>47</v>
      </c>
      <c r="H4" t="s" s="54">
        <v>48</v>
      </c>
      <c r="I4" t="s" s="54">
        <v>45</v>
      </c>
    </row>
  </sheetData>
  <pageMargins bottom="0.75" footer="0.3" header="0.3" left="0.7" right="0.7" top="0.75"/>
</worksheet>
</file>

<file path=xl/worksheets/sheet6.xml><?xml version="1.0" encoding="utf-8"?>
<worksheet xmlns="http://schemas.openxmlformats.org/spreadsheetml/2006/main">
  <dimension ref="A1:G26"/>
  <sheetViews>
    <sheetView workbookViewId="0">
      <pane ySplit="4.0" state="frozen" topLeftCell="A5" activePane="bottomLeft"/>
      <selection pane="bottomLeft"/>
    </sheetView>
  </sheetViews>
  <sheetFormatPr defaultRowHeight="15.0"/>
  <cols>
    <col min="1" max="1" width="17.59765625" customWidth="true"/>
    <col min="2" max="2" width="16.5" customWidth="true"/>
    <col min="3" max="3" width="26.3984375" customWidth="true"/>
    <col min="4" max="4" width="4.3984375" customWidth="true"/>
    <col min="5" max="5" width="20.8984375" customWidth="true"/>
    <col min="6" max="6" width="12.09765625" customWidth="true"/>
    <col min="7" max="7" width="17.59765625" customWidth="true"/>
  </cols>
  <sheetData>
    <row r="1">
      <c r="A1" t="s" s="55">
        <v>103</v>
      </c>
    </row>
    <row r="2">
      <c r="A2" s="58"/>
      <c r="B2" s="58"/>
      <c r="C2" s="58"/>
      <c r="D2" s="58"/>
      <c r="E2" t="s" s="58">
        <v>34</v>
      </c>
      <c r="F2" t="s" s="58">
        <v>35</v>
      </c>
      <c r="G2" s="58"/>
    </row>
    <row r="3">
      <c r="A3"/>
      <c r="B3"/>
      <c r="C3"/>
      <c r="D3"/>
      <c r="E3" t="n" s="56">
        <f>SUM(E5:E1048576)</f>
        <v>0.0</v>
      </c>
      <c r="F3" t="n" s="57">
        <f>SUM(F5:F1048576)</f>
        <v>0.0</v>
      </c>
    </row>
    <row r="4">
      <c r="A4" t="s" s="59">
        <v>104</v>
      </c>
      <c r="B4" t="s" s="59">
        <v>41</v>
      </c>
      <c r="C4" t="s" s="59">
        <v>43</v>
      </c>
      <c r="D4" t="s" s="59">
        <v>46</v>
      </c>
      <c r="E4" t="s" s="59">
        <v>47</v>
      </c>
      <c r="F4" t="s" s="59">
        <v>48</v>
      </c>
      <c r="G4" t="s" s="59">
        <v>45</v>
      </c>
    </row>
    <row r="5">
      <c r="A5" t="s">
        <v>105</v>
      </c>
      <c r="B5" t="s">
        <v>64</v>
      </c>
      <c r="C5" t="s">
        <v>50</v>
      </c>
      <c r="D5" t="n">
        <v>0.0</v>
      </c>
      <c r="E5" t="n">
        <v>2923.0</v>
      </c>
      <c r="F5" t="n">
        <v>0.0</v>
      </c>
      <c r="G5" t="s">
        <v>56</v>
      </c>
    </row>
    <row r="6">
      <c r="A6" t="s">
        <v>105</v>
      </c>
      <c r="B6" t="s">
        <v>106</v>
      </c>
      <c r="C6" t="s">
        <v>50</v>
      </c>
      <c r="D6" t="n">
        <v>0.0</v>
      </c>
      <c r="E6" t="n">
        <v>299.0</v>
      </c>
      <c r="F6" t="n">
        <v>0.0</v>
      </c>
      <c r="G6" t="s">
        <v>56</v>
      </c>
    </row>
    <row r="7">
      <c r="A7" t="s">
        <v>105</v>
      </c>
      <c r="B7" t="s">
        <v>53</v>
      </c>
      <c r="C7" t="s">
        <v>50</v>
      </c>
      <c r="D7" t="n">
        <v>0.0</v>
      </c>
      <c r="E7" t="n">
        <v>8936.0</v>
      </c>
      <c r="F7" t="n">
        <v>0.0</v>
      </c>
      <c r="G7" t="s">
        <v>56</v>
      </c>
    </row>
    <row r="8">
      <c r="A8" t="s">
        <v>105</v>
      </c>
      <c r="B8" t="s">
        <v>107</v>
      </c>
      <c r="C8" t="s">
        <v>50</v>
      </c>
      <c r="D8" t="n">
        <v>0.0</v>
      </c>
      <c r="E8" t="n">
        <v>2603.0</v>
      </c>
      <c r="F8" t="n">
        <v>0.0</v>
      </c>
      <c r="G8" t="s">
        <v>56</v>
      </c>
    </row>
    <row r="9">
      <c r="A9" t="s">
        <v>105</v>
      </c>
      <c r="B9" t="s">
        <v>108</v>
      </c>
      <c r="C9" t="s">
        <v>50</v>
      </c>
      <c r="D9" t="n">
        <v>0.0</v>
      </c>
      <c r="E9" t="n">
        <v>1556.0</v>
      </c>
      <c r="F9" t="n">
        <v>0.0</v>
      </c>
      <c r="G9" t="s">
        <v>56</v>
      </c>
    </row>
    <row r="10">
      <c r="A10" t="s">
        <v>105</v>
      </c>
      <c r="B10" t="s">
        <v>109</v>
      </c>
      <c r="C10" t="s">
        <v>50</v>
      </c>
      <c r="D10" t="n">
        <v>0.0</v>
      </c>
      <c r="E10" t="n">
        <v>419.0</v>
      </c>
      <c r="F10" t="n">
        <v>0.0</v>
      </c>
      <c r="G10" t="s">
        <v>56</v>
      </c>
    </row>
    <row r="11">
      <c r="A11" t="s">
        <v>105</v>
      </c>
      <c r="B11" t="s">
        <v>110</v>
      </c>
      <c r="C11" t="s">
        <v>50</v>
      </c>
      <c r="D11" t="n">
        <v>0.0</v>
      </c>
      <c r="E11" t="n">
        <v>2872.0</v>
      </c>
      <c r="F11" t="n">
        <v>0.0</v>
      </c>
      <c r="G11" t="s">
        <v>56</v>
      </c>
    </row>
    <row r="12">
      <c r="A12" t="s">
        <v>105</v>
      </c>
      <c r="B12" t="s">
        <v>111</v>
      </c>
      <c r="C12" t="s">
        <v>50</v>
      </c>
      <c r="D12" t="n">
        <v>0.0</v>
      </c>
      <c r="E12" t="n">
        <v>1396.0</v>
      </c>
      <c r="F12" t="n">
        <v>0.0</v>
      </c>
      <c r="G12" t="s">
        <v>56</v>
      </c>
    </row>
    <row r="13">
      <c r="A13" t="s">
        <v>105</v>
      </c>
      <c r="B13" t="s">
        <v>68</v>
      </c>
      <c r="C13" t="s">
        <v>50</v>
      </c>
      <c r="D13" t="n">
        <v>0.0</v>
      </c>
      <c r="E13" t="n">
        <v>3272.0</v>
      </c>
      <c r="F13" t="n">
        <v>0.0</v>
      </c>
      <c r="G13" t="s">
        <v>56</v>
      </c>
    </row>
    <row r="14">
      <c r="A14" t="s">
        <v>105</v>
      </c>
      <c r="B14" t="s">
        <v>112</v>
      </c>
      <c r="C14" t="s">
        <v>50</v>
      </c>
      <c r="D14" t="n">
        <v>0.0</v>
      </c>
      <c r="E14" t="n">
        <v>3799.0</v>
      </c>
      <c r="F14" t="n">
        <v>0.0</v>
      </c>
      <c r="G14" t="s">
        <v>56</v>
      </c>
    </row>
    <row r="15">
      <c r="A15" t="s">
        <v>105</v>
      </c>
      <c r="B15" t="s">
        <v>78</v>
      </c>
      <c r="C15" t="s">
        <v>50</v>
      </c>
      <c r="D15" t="n">
        <v>0.0</v>
      </c>
      <c r="E15" t="n">
        <v>2693.0</v>
      </c>
      <c r="F15" t="n">
        <v>0.0</v>
      </c>
      <c r="G15" t="s">
        <v>56</v>
      </c>
    </row>
    <row r="16">
      <c r="A16" t="s">
        <v>105</v>
      </c>
      <c r="B16" t="s">
        <v>113</v>
      </c>
      <c r="C16" t="s">
        <v>50</v>
      </c>
      <c r="D16" t="n">
        <v>0.0</v>
      </c>
      <c r="E16" t="n">
        <v>1137.0</v>
      </c>
      <c r="F16" t="n">
        <v>0.0</v>
      </c>
      <c r="G16" t="s">
        <v>56</v>
      </c>
    </row>
    <row r="17">
      <c r="A17" t="s">
        <v>105</v>
      </c>
      <c r="B17" t="s">
        <v>114</v>
      </c>
      <c r="C17" t="s">
        <v>50</v>
      </c>
      <c r="D17" t="n">
        <v>0.0</v>
      </c>
      <c r="E17" t="n">
        <v>1257.0</v>
      </c>
      <c r="F17" t="n">
        <v>0.0</v>
      </c>
      <c r="G17" t="s">
        <v>56</v>
      </c>
    </row>
    <row r="18">
      <c r="A18" t="s">
        <v>105</v>
      </c>
      <c r="B18" t="s">
        <v>115</v>
      </c>
      <c r="C18" t="s">
        <v>50</v>
      </c>
      <c r="D18" t="n">
        <v>0.0</v>
      </c>
      <c r="E18" t="n">
        <v>499.0</v>
      </c>
      <c r="F18" t="n">
        <v>0.0</v>
      </c>
      <c r="G18" t="s">
        <v>56</v>
      </c>
    </row>
    <row r="19">
      <c r="A19" t="s">
        <v>105</v>
      </c>
      <c r="B19" t="s">
        <v>116</v>
      </c>
      <c r="C19" t="s">
        <v>50</v>
      </c>
      <c r="D19" t="n">
        <v>0.0</v>
      </c>
      <c r="E19" t="n">
        <v>3310.0</v>
      </c>
      <c r="F19" t="n">
        <v>0.0</v>
      </c>
      <c r="G19" t="s">
        <v>56</v>
      </c>
    </row>
    <row r="20">
      <c r="A20" t="s">
        <v>105</v>
      </c>
      <c r="B20" t="s">
        <v>60</v>
      </c>
      <c r="C20" t="s">
        <v>50</v>
      </c>
      <c r="D20" t="n">
        <v>0.0</v>
      </c>
      <c r="E20" t="n">
        <v>3590.0</v>
      </c>
      <c r="F20" t="n">
        <v>0.0</v>
      </c>
      <c r="G20" t="s">
        <v>56</v>
      </c>
    </row>
    <row r="21">
      <c r="A21" t="s">
        <v>105</v>
      </c>
      <c r="B21" t="s">
        <v>72</v>
      </c>
      <c r="C21" t="s">
        <v>50</v>
      </c>
      <c r="D21" t="n">
        <v>0.0</v>
      </c>
      <c r="E21" t="n">
        <v>6184.0</v>
      </c>
      <c r="F21" t="n">
        <v>0.0</v>
      </c>
      <c r="G21" t="s">
        <v>56</v>
      </c>
    </row>
    <row r="22">
      <c r="A22" t="s">
        <v>105</v>
      </c>
      <c r="B22" t="s">
        <v>117</v>
      </c>
      <c r="C22" t="s">
        <v>50</v>
      </c>
      <c r="D22" t="n">
        <v>0.0</v>
      </c>
      <c r="E22" t="n">
        <v>4399.0</v>
      </c>
      <c r="F22" t="n">
        <v>0.0</v>
      </c>
      <c r="G22" t="s">
        <v>56</v>
      </c>
    </row>
    <row r="23">
      <c r="A23" t="s">
        <v>105</v>
      </c>
      <c r="B23" t="s">
        <v>118</v>
      </c>
      <c r="C23" t="s">
        <v>50</v>
      </c>
      <c r="D23" t="n">
        <v>0.0</v>
      </c>
      <c r="E23" t="n">
        <v>718.0</v>
      </c>
      <c r="F23" t="n">
        <v>0.0</v>
      </c>
      <c r="G23" t="s">
        <v>56</v>
      </c>
    </row>
    <row r="24">
      <c r="A24" t="s">
        <v>105</v>
      </c>
      <c r="B24" t="s">
        <v>119</v>
      </c>
      <c r="C24" t="s">
        <v>50</v>
      </c>
      <c r="D24" t="n">
        <v>0.0</v>
      </c>
      <c r="E24" t="n">
        <v>2573.0</v>
      </c>
      <c r="F24" t="n">
        <v>0.0</v>
      </c>
      <c r="G24" t="s">
        <v>56</v>
      </c>
    </row>
    <row r="25">
      <c r="A25" t="s">
        <v>105</v>
      </c>
      <c r="B25" t="s">
        <v>120</v>
      </c>
      <c r="C25" t="s">
        <v>50</v>
      </c>
      <c r="D25" t="n">
        <v>0.0</v>
      </c>
      <c r="E25" t="n">
        <v>1436.0</v>
      </c>
      <c r="F25" t="n">
        <v>0.0</v>
      </c>
      <c r="G25" t="s">
        <v>56</v>
      </c>
    </row>
    <row r="26">
      <c r="A26" t="s">
        <v>105</v>
      </c>
      <c r="B26" t="s">
        <v>121</v>
      </c>
      <c r="C26" t="s">
        <v>50</v>
      </c>
      <c r="D26" t="n">
        <v>0.0</v>
      </c>
      <c r="E26" t="n">
        <v>598.0</v>
      </c>
      <c r="F26" t="n">
        <v>0.0</v>
      </c>
      <c r="G26" t="s">
        <v>56</v>
      </c>
    </row>
  </sheetData>
  <pageMargins bottom="0.75" footer="0.3" header="0.3" left="0.7" right="0.7" top="0.75"/>
</worksheet>
</file>

<file path=xl/worksheets/sheet7.xml><?xml version="1.0" encoding="utf-8"?>
<worksheet xmlns="http://schemas.openxmlformats.org/spreadsheetml/2006/main">
  <dimension ref="A1:K6"/>
  <sheetViews>
    <sheetView workbookViewId="0">
      <pane ySplit="4.0" state="frozen" topLeftCell="A5" activePane="bottomLeft"/>
      <selection pane="bottomLeft"/>
    </sheetView>
  </sheetViews>
  <sheetFormatPr defaultRowHeight="15.0"/>
  <cols>
    <col min="1" max="1" width="16.5" customWidth="true"/>
    <col min="2" max="2" width="12.09765625" customWidth="true"/>
    <col min="3" max="3" width="3.296875" customWidth="true"/>
    <col min="4" max="4" width="15.3984375" customWidth="true"/>
    <col min="5" max="5" width="4.3984375" customWidth="true"/>
    <col min="6" max="6" width="12.09765625" customWidth="true"/>
    <col min="7" max="7" width="20.8984375" customWidth="true"/>
    <col min="8" max="8" width="23.09765625" customWidth="true"/>
    <col min="9" max="9" width="19.796875" customWidth="true"/>
    <col min="10" max="10" width="20.8984375" customWidth="true"/>
    <col min="11" max="11" width="12.09765625" customWidth="true"/>
  </cols>
  <sheetData>
    <row r="1">
      <c r="A1" t="s" s="60">
        <v>122</v>
      </c>
    </row>
    <row r="2">
      <c r="A2" t="s" s="67">
        <v>123</v>
      </c>
      <c r="B2" s="67"/>
      <c r="C2" s="67"/>
      <c r="D2" s="67"/>
      <c r="E2" s="67"/>
      <c r="F2" t="s" s="67">
        <v>124</v>
      </c>
      <c r="G2" t="s" s="67">
        <v>34</v>
      </c>
      <c r="H2" t="s" s="67">
        <v>125</v>
      </c>
      <c r="I2" t="s" s="67">
        <v>126</v>
      </c>
      <c r="J2" t="s" s="67">
        <v>127</v>
      </c>
      <c r="K2" t="s" s="67">
        <v>35</v>
      </c>
    </row>
    <row r="3">
      <c r="A3" t="n">
        <f>COUNTA(A5:A1048576)</f>
        <v>0.0</v>
      </c>
      <c r="B3"/>
      <c r="C3"/>
      <c r="D3"/>
      <c r="E3"/>
      <c r="F3" t="n" s="61">
        <f>SUM(F5:F1048576)</f>
        <v>0.0</v>
      </c>
      <c r="G3" t="n" s="62">
        <f>SUM(G5:G1048576)</f>
        <v>0.0</v>
      </c>
      <c r="H3" t="n" s="63">
        <f>SUM(H5:H1048576)</f>
        <v>0.0</v>
      </c>
      <c r="I3" t="n" s="64">
        <f>SUM(I5:I1048576)</f>
        <v>0.0</v>
      </c>
      <c r="J3" t="n" s="65">
        <f>SUM(J5:J1048576)</f>
        <v>0.0</v>
      </c>
      <c r="K3" t="n" s="66">
        <f>SUM(K5:K1048576)</f>
        <v>0.0</v>
      </c>
    </row>
    <row r="4">
      <c r="A4" t="s" s="68">
        <v>128</v>
      </c>
      <c r="B4" t="s" s="68">
        <v>129</v>
      </c>
      <c r="C4" t="s" s="68">
        <v>130</v>
      </c>
      <c r="D4" t="s" s="68">
        <v>131</v>
      </c>
      <c r="E4" t="s" s="68">
        <v>46</v>
      </c>
      <c r="F4" t="s" s="68">
        <v>124</v>
      </c>
      <c r="G4" t="s" s="68">
        <v>47</v>
      </c>
      <c r="H4" t="s" s="68">
        <v>132</v>
      </c>
      <c r="I4" t="s" s="68">
        <v>133</v>
      </c>
      <c r="J4" t="s" s="68">
        <v>134</v>
      </c>
      <c r="K4" t="s" s="68">
        <v>48</v>
      </c>
    </row>
    <row r="5">
      <c r="A5" t="s">
        <v>135</v>
      </c>
      <c r="B5" t="s">
        <v>50</v>
      </c>
      <c r="C5" t="s">
        <v>136</v>
      </c>
      <c r="D5" t="n">
        <v>5.0</v>
      </c>
      <c r="E5" t="n">
        <v>0.0</v>
      </c>
      <c r="F5" t="n">
        <v>1505.0</v>
      </c>
      <c r="G5" t="n">
        <v>1505.0</v>
      </c>
      <c r="H5" t="n">
        <v>0.0</v>
      </c>
      <c r="I5" t="n">
        <v>0.0</v>
      </c>
      <c r="J5" t="n">
        <v>0.0</v>
      </c>
      <c r="K5" t="n">
        <v>0.0</v>
      </c>
    </row>
    <row r="6">
      <c r="A6" t="s">
        <v>137</v>
      </c>
      <c r="B6" t="s">
        <v>50</v>
      </c>
      <c r="C6" t="s">
        <v>136</v>
      </c>
      <c r="D6" t="n">
        <v>154.0</v>
      </c>
      <c r="E6" t="n">
        <v>0.0</v>
      </c>
      <c r="F6" t="n">
        <v>58196.0</v>
      </c>
      <c r="G6" t="n">
        <v>58196.0</v>
      </c>
      <c r="H6" t="n">
        <v>0.0</v>
      </c>
      <c r="I6" t="n">
        <v>0.0</v>
      </c>
      <c r="J6" t="n">
        <v>0.0</v>
      </c>
      <c r="K6"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2026-10-04T05:07:01Z</dcterms:created>
  <dc:creator>Apache POI</dc:creator>
</cp:coreProperties>
</file>